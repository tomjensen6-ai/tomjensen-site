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ssessment" sheetId="1" state="visible" r:id="rId1"/>
    <sheet name="Scales" sheetId="2" state="visible" r:id="rId2"/>
    <sheet name="Matrix" sheetId="3" state="visible" r:id="rId3"/>
  </sheets>
  <definedNames>
    <definedName name="_xlnm.Print_Titles" localSheetId="0">'Assessment'!$11:$11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1B2433"/>
      <sz val="16"/>
    </font>
    <font>
      <name val="Calibri"/>
      <b val="1"/>
      <color rgb="001B2433"/>
      <sz val="10"/>
    </font>
    <font>
      <name val="Calibri"/>
      <color rgb="003A4358"/>
      <sz val="10"/>
    </font>
    <font>
      <name val="Calibri"/>
      <b val="1"/>
      <color rgb="00FFFFFF"/>
      <sz val="10"/>
    </font>
    <font>
      <name val="Calibri"/>
      <b val="1"/>
      <color rgb="001B2433"/>
      <sz val="13"/>
    </font>
    <font>
      <name val="Calibri"/>
      <b val="1"/>
      <color rgb="0087633C"/>
      <sz val="9"/>
    </font>
    <font>
      <name val="Calibri"/>
      <b val="1"/>
      <color rgb="00B42323"/>
      <sz val="11"/>
    </font>
    <font>
      <name val="Calibri"/>
      <b val="1"/>
      <color rgb="007B1B1B"/>
      <sz val="11"/>
    </font>
    <font>
      <name val="Calibri"/>
      <b val="1"/>
      <color rgb="002A6E2E"/>
      <sz val="11"/>
    </font>
    <font>
      <name val="Calibri"/>
      <b val="1"/>
      <color rgb="008A5300"/>
      <sz val="11"/>
    </font>
    <font>
      <name val="Calibri"/>
      <b val="1"/>
      <color rgb="002A6E2E"/>
      <sz val="10"/>
    </font>
    <font>
      <name val="Calibri"/>
      <b val="1"/>
      <color rgb="008A5300"/>
      <sz val="10"/>
    </font>
    <font>
      <name val="Calibri"/>
      <b val="1"/>
      <color rgb="00B42323"/>
      <sz val="10"/>
    </font>
    <font>
      <name val="Calibri"/>
      <b val="1"/>
      <color rgb="007B1B1B"/>
      <sz val="10"/>
    </font>
  </fonts>
  <fills count="8">
    <fill>
      <patternFill/>
    </fill>
    <fill>
      <patternFill patternType="gray125"/>
    </fill>
    <fill>
      <patternFill patternType="solid">
        <fgColor rgb="00FAF6EC"/>
      </patternFill>
    </fill>
    <fill>
      <patternFill patternType="solid">
        <fgColor rgb="001B2433"/>
      </patternFill>
    </fill>
    <fill>
      <patternFill patternType="solid">
        <fgColor rgb="00F7D9D4"/>
      </patternFill>
    </fill>
    <fill>
      <patternFill patternType="solid">
        <fgColor rgb="00EBC4C1"/>
      </patternFill>
    </fill>
    <fill>
      <patternFill patternType="solid">
        <fgColor rgb="00DDEBD9"/>
      </patternFill>
    </fill>
    <fill>
      <patternFill patternType="solid">
        <fgColor rgb="00F6E2AE"/>
      </patternFill>
    </fill>
  </fills>
  <borders count="4">
    <border>
      <left/>
      <right/>
      <top/>
      <bottom/>
      <diagonal/>
    </border>
    <border>
      <left style="thin">
        <color rgb="00E0D7C4"/>
      </left>
      <right style="thin">
        <color rgb="00E0D7C4"/>
      </right>
      <top style="thin">
        <color rgb="00E0D7C4"/>
      </top>
      <bottom style="thin">
        <color rgb="00E0D7C4"/>
      </bottom>
    </border>
    <border>
      <left style="thick">
        <color rgb="00B0824E"/>
      </left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3" fillId="2" borderId="2" applyAlignment="1" pivotButton="0" quotePrefix="0" xfId="0">
      <alignment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textRotation="90"/>
    </xf>
    <xf numFmtId="0" fontId="2" fillId="0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left" vertical="top" wrapText="1"/>
    </xf>
    <xf numFmtId="0" fontId="9" fillId="6" borderId="3" applyAlignment="1" pivotButton="0" quotePrefix="0" xfId="0">
      <alignment horizontal="left" vertical="top" wrapText="1"/>
    </xf>
    <xf numFmtId="0" fontId="10" fillId="7" borderId="3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0" fillId="3" borderId="1" pivotButton="0" quotePrefix="0" xfId="0"/>
    <xf numFmtId="0" fontId="11" fillId="6" borderId="1" applyAlignment="1" pivotButton="0" quotePrefix="0" xfId="0">
      <alignment vertical="top" wrapText="1"/>
    </xf>
    <xf numFmtId="0" fontId="0" fillId="6" borderId="1" pivotButton="0" quotePrefix="0" xfId="0"/>
    <xf numFmtId="0" fontId="12" fillId="7" borderId="1" applyAlignment="1" pivotButton="0" quotePrefix="0" xfId="0">
      <alignment vertical="top" wrapText="1"/>
    </xf>
    <xf numFmtId="0" fontId="0" fillId="7" borderId="1" pivotButton="0" quotePrefix="0" xfId="0"/>
    <xf numFmtId="0" fontId="13" fillId="4" borderId="1" applyAlignment="1" pivotButton="0" quotePrefix="0" xfId="0">
      <alignment vertical="top" wrapText="1"/>
    </xf>
    <xf numFmtId="0" fontId="0" fillId="4" borderId="1" pivotButton="0" quotePrefix="0" xfId="0"/>
    <xf numFmtId="0" fontId="14" fillId="5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dxfs count="4">
    <dxf>
      <font>
        <b val="1"/>
        <color rgb="002A6E2E"/>
      </font>
      <fill>
        <patternFill patternType="solid">
          <fgColor rgb="00DDEBD9"/>
          <bgColor rgb="00DDEBD9"/>
        </patternFill>
      </fill>
    </dxf>
    <dxf>
      <font>
        <b val="1"/>
        <color rgb="008A5300"/>
      </font>
      <fill>
        <patternFill patternType="solid">
          <fgColor rgb="00F6E2AE"/>
          <bgColor rgb="00F6E2AE"/>
        </patternFill>
      </fill>
    </dxf>
    <dxf>
      <font>
        <b val="1"/>
        <color rgb="00B42323"/>
      </font>
      <fill>
        <patternFill patternType="solid">
          <fgColor rgb="00F7D9D4"/>
          <bgColor rgb="00F7D9D4"/>
        </patternFill>
      </fill>
    </dxf>
    <dxf>
      <font>
        <b val="1"/>
        <color rgb="007B1B1B"/>
      </font>
      <fill>
        <patternFill patternType="solid">
          <fgColor rgb="00EBC4C1"/>
          <bgColor rgb="00EBC4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1" customWidth="1" min="4" max="4"/>
    <col width="12" customWidth="1" min="5" max="5"/>
    <col width="8" customWidth="1" min="6" max="6"/>
    <col width="11" customWidth="1" min="7" max="7"/>
    <col width="44" customWidth="1" min="8" max="8"/>
    <col width="11" customWidth="1" min="9" max="9"/>
    <col width="12" customWidth="1" min="10" max="10"/>
    <col width="8" customWidth="1" min="11" max="11"/>
    <col width="11" customWidth="1" min="12" max="12"/>
    <col width="32" customWidth="1" min="13" max="13"/>
    <col width="16" customWidth="1" min="14" max="14"/>
    <col width="12" customWidth="1" min="15" max="15"/>
    <col width="18" customWidth="1" min="16" max="16"/>
  </cols>
  <sheetData>
    <row r="1" ht="26" customHeight="1">
      <c r="A1" s="1" t="inlineStr">
        <is>
          <t>Risk assessment</t>
        </is>
      </c>
    </row>
    <row r="3" ht="34" customHeight="1">
      <c r="A3" s="2" t="inlineStr">
        <is>
          <t>Work description</t>
        </is>
      </c>
      <c r="B3" s="3" t="n"/>
      <c r="C3" s="3" t="n"/>
      <c r="D3" s="4" t="n"/>
      <c r="E3" s="3" t="n"/>
      <c r="F3" s="3" t="n"/>
      <c r="G3" s="3" t="n"/>
      <c r="H3" s="3" t="n"/>
      <c r="I3" s="3" t="n"/>
      <c r="J3" s="3" t="n"/>
    </row>
    <row r="4" ht="20" customHeight="1">
      <c r="A4" s="2" t="inlineStr">
        <is>
          <t>Site / location</t>
        </is>
      </c>
      <c r="B4" s="3" t="n"/>
      <c r="C4" s="3" t="n"/>
      <c r="D4" s="4" t="n"/>
      <c r="E4" s="3" t="n"/>
      <c r="F4" s="3" t="n"/>
      <c r="G4" s="3" t="n"/>
      <c r="H4" s="3" t="n"/>
      <c r="I4" s="3" t="n"/>
      <c r="J4" s="3" t="n"/>
    </row>
    <row r="5" ht="20" customHeight="1">
      <c r="A5" s="2" t="inlineStr">
        <is>
          <t>Date</t>
        </is>
      </c>
      <c r="B5" s="3" t="n"/>
      <c r="C5" s="3" t="n"/>
      <c r="D5" s="5" t="n"/>
      <c r="E5" s="3" t="n"/>
      <c r="F5" s="3" t="n"/>
      <c r="G5" s="3" t="n"/>
      <c r="H5" s="3" t="n"/>
      <c r="I5" s="3" t="n"/>
      <c r="J5" s="3" t="n"/>
    </row>
    <row r="6" ht="20" customHeight="1">
      <c r="A6" s="2" t="inlineStr">
        <is>
          <t>Assessed by</t>
        </is>
      </c>
      <c r="B6" s="3" t="n"/>
      <c r="C6" s="3" t="n"/>
      <c r="D6" s="4" t="n"/>
      <c r="E6" s="3" t="n"/>
      <c r="F6" s="3" t="n"/>
      <c r="G6" s="3" t="n"/>
      <c r="H6" s="3" t="n"/>
      <c r="I6" s="3" t="n"/>
      <c r="J6" s="3" t="n"/>
    </row>
    <row r="7" ht="20" customHeight="1">
      <c r="A7" s="2" t="inlineStr">
        <is>
          <t>Reviewed by (not doing the work)</t>
        </is>
      </c>
      <c r="B7" s="3" t="n"/>
      <c r="C7" s="3" t="n"/>
      <c r="D7" s="4" t="n"/>
      <c r="E7" s="3" t="n"/>
      <c r="F7" s="3" t="n"/>
      <c r="G7" s="3" t="n"/>
      <c r="H7" s="3" t="n"/>
      <c r="I7" s="3" t="n"/>
      <c r="J7" s="3" t="n"/>
    </row>
    <row r="8" ht="20" customHeight="1">
      <c r="A8" s="2" t="inlineStr">
        <is>
          <t>Risk owner</t>
        </is>
      </c>
      <c r="B8" s="3" t="n"/>
      <c r="C8" s="3" t="n"/>
      <c r="D8" s="4" t="n"/>
      <c r="E8" s="3" t="n"/>
      <c r="F8" s="3" t="n"/>
      <c r="G8" s="3" t="n"/>
      <c r="H8" s="3" t="n"/>
      <c r="I8" s="3" t="n"/>
      <c r="J8" s="3" t="n"/>
    </row>
    <row r="9" ht="20" customHeight="1">
      <c r="A9" s="2" t="inlineStr">
        <is>
          <t>Accepted (name, date)</t>
        </is>
      </c>
      <c r="B9" s="3" t="n"/>
      <c r="C9" s="3" t="n"/>
      <c r="D9" s="4" t="n"/>
      <c r="E9" s="3" t="n"/>
      <c r="F9" s="3" t="n"/>
      <c r="G9" s="3" t="n"/>
      <c r="H9" s="3" t="n"/>
      <c r="I9" s="3" t="n"/>
      <c r="J9" s="3" t="n"/>
    </row>
    <row r="11" ht="30" customHeight="1">
      <c r="A11" s="6" t="inlineStr">
        <is>
          <t>ID</t>
        </is>
      </c>
      <c r="B11" s="6" t="inlineStr">
        <is>
          <t>What can go wrong</t>
        </is>
      </c>
      <c r="C11" s="6" t="inlineStr">
        <is>
          <t>Worst consequence area</t>
        </is>
      </c>
      <c r="D11" s="6" t="inlineStr">
        <is>
          <t>Likelihood</t>
        </is>
      </c>
      <c r="E11" s="6" t="inlineStr">
        <is>
          <t>Consequence</t>
        </is>
      </c>
      <c r="F11" s="6" t="inlineStr">
        <is>
          <t>Score</t>
        </is>
      </c>
      <c r="G11" s="6" t="inlineStr">
        <is>
          <t>Level</t>
        </is>
      </c>
      <c r="H11" s="6" t="inlineStr">
        <is>
          <t>Controls in place on the day</t>
        </is>
      </c>
      <c r="I11" s="6" t="inlineStr">
        <is>
          <t>Likelihood after</t>
        </is>
      </c>
      <c r="J11" s="6" t="inlineStr">
        <is>
          <t>Consequence after</t>
        </is>
      </c>
      <c r="K11" s="6" t="inlineStr">
        <is>
          <t>Score after</t>
        </is>
      </c>
      <c r="L11" s="6" t="inlineStr">
        <is>
          <t>Level after</t>
        </is>
      </c>
      <c r="M11" s="6" t="inlineStr">
        <is>
          <t>Stop conditions</t>
        </is>
      </c>
      <c r="N11" s="6" t="inlineStr">
        <is>
          <t>Action owner</t>
        </is>
      </c>
      <c r="O11" s="6" t="inlineStr">
        <is>
          <t>Due</t>
        </is>
      </c>
      <c r="P11" s="6" t="inlineStr">
        <is>
          <t>Accepted by</t>
        </is>
      </c>
    </row>
    <row r="12" ht="64" customHeight="1">
      <c r="A12" s="7" t="n">
        <v>1</v>
      </c>
      <c r="B12" s="7" t="inlineStr">
        <is>
          <t>UPS to maintenance bypass (MOP-UPS-001): the utility fails while the load is on maintenance bypass. The IT load drops until the generators take over.</t>
        </is>
      </c>
      <c r="C12" s="7" t="inlineStr">
        <is>
          <t>Service and load</t>
        </is>
      </c>
      <c r="D12" s="7" t="n">
        <v>2</v>
      </c>
      <c r="E12" s="7" t="n">
        <v>5</v>
      </c>
      <c r="F12" s="8">
        <f>IF(OR(D12="",E12=""),"",D12*E12)</f>
        <v/>
      </c>
      <c r="G12" s="8">
        <f>IF(F12="","",IF(F12&gt;=17,"Critical",IF(OR(F12&gt;=10,E12=5),"High",IF(F12&gt;=5,"Medium","Low"))))</f>
        <v/>
      </c>
      <c r="H12" s="7" t="inlineStr">
        <is>
          <t>Planned window, no storms forecast, no known grid work; generators checked and in automatic; exposure window as short as possible; switching sequence rehearsed so the way back is quick.</t>
        </is>
      </c>
      <c r="I12" s="7" t="n">
        <v>1</v>
      </c>
      <c r="J12" s="7" t="n">
        <v>5</v>
      </c>
      <c r="K12" s="8">
        <f>IF(OR(I12="",J12=""),"",I12*J12)</f>
        <v/>
      </c>
      <c r="L12" s="8">
        <f>IF(K12="","",IF(K12&gt;=17,"Critical",IF(OR(K12&gt;=10,J12=5),"High",IF(K12&gt;=5,"Medium","Low"))))</f>
        <v/>
      </c>
      <c r="M12" s="7" t="inlineStr">
        <is>
          <t>As in MOP-UPS-001.</t>
        </is>
      </c>
      <c r="N12" s="7" t="n"/>
      <c r="O12" s="9" t="n"/>
      <c r="P12" s="7" t="inlineStr">
        <is>
          <t>Risk owner, in writing</t>
        </is>
      </c>
    </row>
    <row r="13" ht="64" customHeight="1">
      <c r="A13" s="7" t="n">
        <v>2</v>
      </c>
      <c r="B13" s="7" t="inlineStr">
        <is>
          <t>Planned utility transfer test (MOP-PWR-002): cooling is slow to restart after the transfer to generator, and data hall temperatures pass their limit.</t>
        </is>
      </c>
      <c r="C13" s="7" t="inlineStr">
        <is>
          <t>Service and load</t>
        </is>
      </c>
      <c r="D13" s="7" t="n">
        <v>3</v>
      </c>
      <c r="E13" s="7" t="n">
        <v>3</v>
      </c>
      <c r="F13" s="8">
        <f>IF(OR(D13="",E13=""),"",D13*E13)</f>
        <v/>
      </c>
      <c r="G13" s="8">
        <f>IF(F13="","",IF(F13&gt;=17,"Critical",IF(OR(F13&gt;=10,E13=5),"High",IF(F13&gt;=5,"Medium","Low"))))</f>
        <v/>
      </c>
      <c r="H13" s="7" t="inlineStr">
        <is>
          <t>Pumps and CRAH fans on their own UPS; chiller restart time known from the last test; test done in cool weather.</t>
        </is>
      </c>
      <c r="I13" s="7" t="n">
        <v>2</v>
      </c>
      <c r="J13" s="7" t="n">
        <v>3</v>
      </c>
      <c r="K13" s="8">
        <f>IF(OR(I13="",J13=""),"",I13*J13)</f>
        <v/>
      </c>
      <c r="L13" s="8">
        <f>IF(K13="","",IF(K13&gt;=17,"Critical",IF(OR(K13&gt;=10,J13=5),"High",IF(K13&gt;=5,"Medium","Low"))))</f>
        <v/>
      </c>
      <c r="M13" s="7" t="inlineStr">
        <is>
          <t>Data hall temperature reaches the agreed limit.</t>
        </is>
      </c>
      <c r="N13" s="7" t="n"/>
      <c r="O13" s="9" t="n"/>
      <c r="P13" s="7" t="inlineStr">
        <is>
          <t>Facility manager</t>
        </is>
      </c>
    </row>
    <row r="14" ht="64" customHeight="1">
      <c r="A14" s="7" t="n">
        <v>3</v>
      </c>
      <c r="B14" s="7" t="inlineStr">
        <is>
          <t>Vendor work in a data hall (SOP-SEC-003): the vendor works on the wrong rack or pulls the wrong cable, and drops customer equipment.</t>
        </is>
      </c>
      <c r="C14" s="7" t="inlineStr">
        <is>
          <t>Service and load</t>
        </is>
      </c>
      <c r="D14" s="7" t="n">
        <v>3</v>
      </c>
      <c r="E14" s="7" t="n">
        <v>4</v>
      </c>
      <c r="F14" s="8">
        <f>IF(OR(D14="",E14=""),"",D14*E14)</f>
        <v/>
      </c>
      <c r="G14" s="8">
        <f>IF(F14="","",IF(F14&gt;=17,"Critical",IF(OR(F14&gt;=10,E14=5),"High",IF(F14&gt;=5,"Medium","Low"))))</f>
        <v/>
      </c>
      <c r="H14" s="7" t="inlineStr">
        <is>
          <t>Work approval names the rack and asset tags; label checked against the approval before anything is touched; escort from operations stays for work on critical equipment.</t>
        </is>
      </c>
      <c r="I14" s="7" t="n">
        <v>2</v>
      </c>
      <c r="J14" s="7" t="n">
        <v>4</v>
      </c>
      <c r="K14" s="8">
        <f>IF(OR(I14="",J14=""),"",I14*J14)</f>
        <v/>
      </c>
      <c r="L14" s="8">
        <f>IF(K14="","",IF(K14&gt;=17,"Critical",IF(OR(K14&gt;=10,J14=5),"High",IF(K14&gt;=5,"Medium","Low"))))</f>
        <v/>
      </c>
      <c r="M14" s="7" t="inlineStr">
        <is>
          <t>The asset or its state can't be confirmed.</t>
        </is>
      </c>
      <c r="N14" s="7" t="n"/>
      <c r="O14" s="9" t="n"/>
      <c r="P14" s="7" t="inlineStr">
        <is>
          <t>Facility manager</t>
        </is>
      </c>
    </row>
    <row r="15" ht="30" customHeight="1">
      <c r="A15" s="7" t="n">
        <v>4</v>
      </c>
      <c r="B15" s="7" t="n"/>
      <c r="C15" s="7" t="n"/>
      <c r="D15" s="7" t="n"/>
      <c r="E15" s="7" t="n"/>
      <c r="F15" s="8">
        <f>IF(OR(D15="",E15=""),"",D15*E15)</f>
        <v/>
      </c>
      <c r="G15" s="8">
        <f>IF(F15="","",IF(F15&gt;=17,"Critical",IF(OR(F15&gt;=10,E15=5),"High",IF(F15&gt;=5,"Medium","Low"))))</f>
        <v/>
      </c>
      <c r="H15" s="7" t="n"/>
      <c r="I15" s="7" t="n"/>
      <c r="J15" s="7" t="n"/>
      <c r="K15" s="8">
        <f>IF(OR(I15="",J15=""),"",I15*J15)</f>
        <v/>
      </c>
      <c r="L15" s="8">
        <f>IF(K15="","",IF(K15&gt;=17,"Critical",IF(OR(K15&gt;=10,J15=5),"High",IF(K15&gt;=5,"Medium","Low"))))</f>
        <v/>
      </c>
      <c r="M15" s="7" t="n"/>
      <c r="N15" s="7" t="n"/>
      <c r="O15" s="9" t="n"/>
      <c r="P15" s="7" t="n"/>
    </row>
    <row r="16" ht="30" customHeight="1">
      <c r="A16" s="7" t="n">
        <v>5</v>
      </c>
      <c r="B16" s="7" t="n"/>
      <c r="C16" s="7" t="n"/>
      <c r="D16" s="7" t="n"/>
      <c r="E16" s="7" t="n"/>
      <c r="F16" s="8">
        <f>IF(OR(D16="",E16=""),"",D16*E16)</f>
        <v/>
      </c>
      <c r="G16" s="8">
        <f>IF(F16="","",IF(F16&gt;=17,"Critical",IF(OR(F16&gt;=10,E16=5),"High",IF(F16&gt;=5,"Medium","Low"))))</f>
        <v/>
      </c>
      <c r="H16" s="7" t="n"/>
      <c r="I16" s="7" t="n"/>
      <c r="J16" s="7" t="n"/>
      <c r="K16" s="8">
        <f>IF(OR(I16="",J16=""),"",I16*J16)</f>
        <v/>
      </c>
      <c r="L16" s="8">
        <f>IF(K16="","",IF(K16&gt;=17,"Critical",IF(OR(K16&gt;=10,J16=5),"High",IF(K16&gt;=5,"Medium","Low"))))</f>
        <v/>
      </c>
      <c r="M16" s="7" t="n"/>
      <c r="N16" s="7" t="n"/>
      <c r="O16" s="9" t="n"/>
      <c r="P16" s="7" t="n"/>
    </row>
    <row r="17" ht="30" customHeight="1">
      <c r="A17" s="7" t="n">
        <v>6</v>
      </c>
      <c r="B17" s="7" t="n"/>
      <c r="C17" s="7" t="n"/>
      <c r="D17" s="7" t="n"/>
      <c r="E17" s="7" t="n"/>
      <c r="F17" s="8">
        <f>IF(OR(D17="",E17=""),"",D17*E17)</f>
        <v/>
      </c>
      <c r="G17" s="8">
        <f>IF(F17="","",IF(F17&gt;=17,"Critical",IF(OR(F17&gt;=10,E17=5),"High",IF(F17&gt;=5,"Medium","Low"))))</f>
        <v/>
      </c>
      <c r="H17" s="7" t="n"/>
      <c r="I17" s="7" t="n"/>
      <c r="J17" s="7" t="n"/>
      <c r="K17" s="8">
        <f>IF(OR(I17="",J17=""),"",I17*J17)</f>
        <v/>
      </c>
      <c r="L17" s="8">
        <f>IF(K17="","",IF(K17&gt;=17,"Critical",IF(OR(K17&gt;=10,J17=5),"High",IF(K17&gt;=5,"Medium","Low"))))</f>
        <v/>
      </c>
      <c r="M17" s="7" t="n"/>
      <c r="N17" s="7" t="n"/>
      <c r="O17" s="9" t="n"/>
      <c r="P17" s="7" t="n"/>
    </row>
    <row r="18" ht="30" customHeight="1">
      <c r="A18" s="7" t="n">
        <v>7</v>
      </c>
      <c r="B18" s="7" t="n"/>
      <c r="C18" s="7" t="n"/>
      <c r="D18" s="7" t="n"/>
      <c r="E18" s="7" t="n"/>
      <c r="F18" s="8">
        <f>IF(OR(D18="",E18=""),"",D18*E18)</f>
        <v/>
      </c>
      <c r="G18" s="8">
        <f>IF(F18="","",IF(F18&gt;=17,"Critical",IF(OR(F18&gt;=10,E18=5),"High",IF(F18&gt;=5,"Medium","Low"))))</f>
        <v/>
      </c>
      <c r="H18" s="7" t="n"/>
      <c r="I18" s="7" t="n"/>
      <c r="J18" s="7" t="n"/>
      <c r="K18" s="8">
        <f>IF(OR(I18="",J18=""),"",I18*J18)</f>
        <v/>
      </c>
      <c r="L18" s="8">
        <f>IF(K18="","",IF(K18&gt;=17,"Critical",IF(OR(K18&gt;=10,J18=5),"High",IF(K18&gt;=5,"Medium","Low"))))</f>
        <v/>
      </c>
      <c r="M18" s="7" t="n"/>
      <c r="N18" s="7" t="n"/>
      <c r="O18" s="9" t="n"/>
      <c r="P18" s="7" t="n"/>
    </row>
    <row r="19" ht="30" customHeight="1">
      <c r="A19" s="7" t="n">
        <v>8</v>
      </c>
      <c r="B19" s="7" t="n"/>
      <c r="C19" s="7" t="n"/>
      <c r="D19" s="7" t="n"/>
      <c r="E19" s="7" t="n"/>
      <c r="F19" s="8">
        <f>IF(OR(D19="",E19=""),"",D19*E19)</f>
        <v/>
      </c>
      <c r="G19" s="8">
        <f>IF(F19="","",IF(F19&gt;=17,"Critical",IF(OR(F19&gt;=10,E19=5),"High",IF(F19&gt;=5,"Medium","Low"))))</f>
        <v/>
      </c>
      <c r="H19" s="7" t="n"/>
      <c r="I19" s="7" t="n"/>
      <c r="J19" s="7" t="n"/>
      <c r="K19" s="8">
        <f>IF(OR(I19="",J19=""),"",I19*J19)</f>
        <v/>
      </c>
      <c r="L19" s="8">
        <f>IF(K19="","",IF(K19&gt;=17,"Critical",IF(OR(K19&gt;=10,J19=5),"High",IF(K19&gt;=5,"Medium","Low"))))</f>
        <v/>
      </c>
      <c r="M19" s="7" t="n"/>
      <c r="N19" s="7" t="n"/>
      <c r="O19" s="9" t="n"/>
      <c r="P19" s="7" t="n"/>
    </row>
    <row r="20" ht="30" customHeight="1">
      <c r="A20" s="7" t="n">
        <v>9</v>
      </c>
      <c r="B20" s="7" t="n"/>
      <c r="C20" s="7" t="n"/>
      <c r="D20" s="7" t="n"/>
      <c r="E20" s="7" t="n"/>
      <c r="F20" s="8">
        <f>IF(OR(D20="",E20=""),"",D20*E20)</f>
        <v/>
      </c>
      <c r="G20" s="8">
        <f>IF(F20="","",IF(F20&gt;=17,"Critical",IF(OR(F20&gt;=10,E20=5),"High",IF(F20&gt;=5,"Medium","Low"))))</f>
        <v/>
      </c>
      <c r="H20" s="7" t="n"/>
      <c r="I20" s="7" t="n"/>
      <c r="J20" s="7" t="n"/>
      <c r="K20" s="8">
        <f>IF(OR(I20="",J20=""),"",I20*J20)</f>
        <v/>
      </c>
      <c r="L20" s="8">
        <f>IF(K20="","",IF(K20&gt;=17,"Critical",IF(OR(K20&gt;=10,J20=5),"High",IF(K20&gt;=5,"Medium","Low"))))</f>
        <v/>
      </c>
      <c r="M20" s="7" t="n"/>
      <c r="N20" s="7" t="n"/>
      <c r="O20" s="9" t="n"/>
      <c r="P20" s="7" t="n"/>
    </row>
    <row r="21" ht="30" customHeight="1">
      <c r="A21" s="7" t="n">
        <v>10</v>
      </c>
      <c r="B21" s="7" t="n"/>
      <c r="C21" s="7" t="n"/>
      <c r="D21" s="7" t="n"/>
      <c r="E21" s="7" t="n"/>
      <c r="F21" s="8">
        <f>IF(OR(D21="",E21=""),"",D21*E21)</f>
        <v/>
      </c>
      <c r="G21" s="8">
        <f>IF(F21="","",IF(F21&gt;=17,"Critical",IF(OR(F21&gt;=10,E21=5),"High",IF(F21&gt;=5,"Medium","Low"))))</f>
        <v/>
      </c>
      <c r="H21" s="7" t="n"/>
      <c r="I21" s="7" t="n"/>
      <c r="J21" s="7" t="n"/>
      <c r="K21" s="8">
        <f>IF(OR(I21="",J21=""),"",I21*J21)</f>
        <v/>
      </c>
      <c r="L21" s="8">
        <f>IF(K21="","",IF(K21&gt;=17,"Critical",IF(OR(K21&gt;=10,J21=5),"High",IF(K21&gt;=5,"Medium","Low"))))</f>
        <v/>
      </c>
      <c r="M21" s="7" t="n"/>
      <c r="N21" s="7" t="n"/>
      <c r="O21" s="9" t="n"/>
      <c r="P21" s="7" t="n"/>
    </row>
    <row r="22" ht="30" customHeight="1">
      <c r="A22" s="7" t="n">
        <v>11</v>
      </c>
      <c r="B22" s="7" t="n"/>
      <c r="C22" s="7" t="n"/>
      <c r="D22" s="7" t="n"/>
      <c r="E22" s="7" t="n"/>
      <c r="F22" s="8">
        <f>IF(OR(D22="",E22=""),"",D22*E22)</f>
        <v/>
      </c>
      <c r="G22" s="8">
        <f>IF(F22="","",IF(F22&gt;=17,"Critical",IF(OR(F22&gt;=10,E22=5),"High",IF(F22&gt;=5,"Medium","Low"))))</f>
        <v/>
      </c>
      <c r="H22" s="7" t="n"/>
      <c r="I22" s="7" t="n"/>
      <c r="J22" s="7" t="n"/>
      <c r="K22" s="8">
        <f>IF(OR(I22="",J22=""),"",I22*J22)</f>
        <v/>
      </c>
      <c r="L22" s="8">
        <f>IF(K22="","",IF(K22&gt;=17,"Critical",IF(OR(K22&gt;=10,J22=5),"High",IF(K22&gt;=5,"Medium","Low"))))</f>
        <v/>
      </c>
      <c r="M22" s="7" t="n"/>
      <c r="N22" s="7" t="n"/>
      <c r="O22" s="9" t="n"/>
      <c r="P22" s="7" t="n"/>
    </row>
    <row r="23" ht="30" customHeight="1">
      <c r="A23" s="7" t="n">
        <v>12</v>
      </c>
      <c r="B23" s="7" t="n"/>
      <c r="C23" s="7" t="n"/>
      <c r="D23" s="7" t="n"/>
      <c r="E23" s="7" t="n"/>
      <c r="F23" s="8">
        <f>IF(OR(D23="",E23=""),"",D23*E23)</f>
        <v/>
      </c>
      <c r="G23" s="8">
        <f>IF(F23="","",IF(F23&gt;=17,"Critical",IF(OR(F23&gt;=10,E23=5),"High",IF(F23&gt;=5,"Medium","Low"))))</f>
        <v/>
      </c>
      <c r="H23" s="7" t="n"/>
      <c r="I23" s="7" t="n"/>
      <c r="J23" s="7" t="n"/>
      <c r="K23" s="8">
        <f>IF(OR(I23="",J23=""),"",I23*J23)</f>
        <v/>
      </c>
      <c r="L23" s="8">
        <f>IF(K23="","",IF(K23&gt;=17,"Critical",IF(OR(K23&gt;=10,J23=5),"High",IF(K23&gt;=5,"Medium","Low"))))</f>
        <v/>
      </c>
      <c r="M23" s="7" t="n"/>
      <c r="N23" s="7" t="n"/>
      <c r="O23" s="9" t="n"/>
      <c r="P23" s="7" t="n"/>
    </row>
    <row r="24" ht="30" customHeight="1">
      <c r="A24" s="7" t="n">
        <v>13</v>
      </c>
      <c r="B24" s="7" t="n"/>
      <c r="C24" s="7" t="n"/>
      <c r="D24" s="7" t="n"/>
      <c r="E24" s="7" t="n"/>
      <c r="F24" s="8">
        <f>IF(OR(D24="",E24=""),"",D24*E24)</f>
        <v/>
      </c>
      <c r="G24" s="8">
        <f>IF(F24="","",IF(F24&gt;=17,"Critical",IF(OR(F24&gt;=10,E24=5),"High",IF(F24&gt;=5,"Medium","Low"))))</f>
        <v/>
      </c>
      <c r="H24" s="7" t="n"/>
      <c r="I24" s="7" t="n"/>
      <c r="J24" s="7" t="n"/>
      <c r="K24" s="8">
        <f>IF(OR(I24="",J24=""),"",I24*J24)</f>
        <v/>
      </c>
      <c r="L24" s="8">
        <f>IF(K24="","",IF(K24&gt;=17,"Critical",IF(OR(K24&gt;=10,J24=5),"High",IF(K24&gt;=5,"Medium","Low"))))</f>
        <v/>
      </c>
      <c r="M24" s="7" t="n"/>
      <c r="N24" s="7" t="n"/>
      <c r="O24" s="9" t="n"/>
      <c r="P24" s="7" t="n"/>
    </row>
    <row r="25" ht="30" customHeight="1">
      <c r="A25" s="7" t="n">
        <v>14</v>
      </c>
      <c r="B25" s="7" t="n"/>
      <c r="C25" s="7" t="n"/>
      <c r="D25" s="7" t="n"/>
      <c r="E25" s="7" t="n"/>
      <c r="F25" s="8">
        <f>IF(OR(D25="",E25=""),"",D25*E25)</f>
        <v/>
      </c>
      <c r="G25" s="8">
        <f>IF(F25="","",IF(F25&gt;=17,"Critical",IF(OR(F25&gt;=10,E25=5),"High",IF(F25&gt;=5,"Medium","Low"))))</f>
        <v/>
      </c>
      <c r="H25" s="7" t="n"/>
      <c r="I25" s="7" t="n"/>
      <c r="J25" s="7" t="n"/>
      <c r="K25" s="8">
        <f>IF(OR(I25="",J25=""),"",I25*J25)</f>
        <v/>
      </c>
      <c r="L25" s="8">
        <f>IF(K25="","",IF(K25&gt;=17,"Critical",IF(OR(K25&gt;=10,J25=5),"High",IF(K25&gt;=5,"Medium","Low"))))</f>
        <v/>
      </c>
      <c r="M25" s="7" t="n"/>
      <c r="N25" s="7" t="n"/>
      <c r="O25" s="9" t="n"/>
      <c r="P25" s="7" t="n"/>
    </row>
    <row r="26" ht="30" customHeight="1">
      <c r="A26" s="7" t="n">
        <v>15</v>
      </c>
      <c r="B26" s="7" t="n"/>
      <c r="C26" s="7" t="n"/>
      <c r="D26" s="7" t="n"/>
      <c r="E26" s="7" t="n"/>
      <c r="F26" s="8">
        <f>IF(OR(D26="",E26=""),"",D26*E26)</f>
        <v/>
      </c>
      <c r="G26" s="8">
        <f>IF(F26="","",IF(F26&gt;=17,"Critical",IF(OR(F26&gt;=10,E26=5),"High",IF(F26&gt;=5,"Medium","Low"))))</f>
        <v/>
      </c>
      <c r="H26" s="7" t="n"/>
      <c r="I26" s="7" t="n"/>
      <c r="J26" s="7" t="n"/>
      <c r="K26" s="8">
        <f>IF(OR(I26="",J26=""),"",I26*J26)</f>
        <v/>
      </c>
      <c r="L26" s="8">
        <f>IF(K26="","",IF(K26&gt;=17,"Critical",IF(OR(K26&gt;=10,J26=5),"High",IF(K26&gt;=5,"Medium","Low"))))</f>
        <v/>
      </c>
      <c r="M26" s="7" t="n"/>
      <c r="N26" s="7" t="n"/>
      <c r="O26" s="9" t="n"/>
      <c r="P26" s="7" t="n"/>
    </row>
    <row r="27" ht="30" customHeight="1">
      <c r="A27" s="7" t="n">
        <v>16</v>
      </c>
      <c r="B27" s="7" t="n"/>
      <c r="C27" s="7" t="n"/>
      <c r="D27" s="7" t="n"/>
      <c r="E27" s="7" t="n"/>
      <c r="F27" s="8">
        <f>IF(OR(D27="",E27=""),"",D27*E27)</f>
        <v/>
      </c>
      <c r="G27" s="8">
        <f>IF(F27="","",IF(F27&gt;=17,"Critical",IF(OR(F27&gt;=10,E27=5),"High",IF(F27&gt;=5,"Medium","Low"))))</f>
        <v/>
      </c>
      <c r="H27" s="7" t="n"/>
      <c r="I27" s="7" t="n"/>
      <c r="J27" s="7" t="n"/>
      <c r="K27" s="8">
        <f>IF(OR(I27="",J27=""),"",I27*J27)</f>
        <v/>
      </c>
      <c r="L27" s="8">
        <f>IF(K27="","",IF(K27&gt;=17,"Critical",IF(OR(K27&gt;=10,J27=5),"High",IF(K27&gt;=5,"Medium","Low"))))</f>
        <v/>
      </c>
      <c r="M27" s="7" t="n"/>
      <c r="N27" s="7" t="n"/>
      <c r="O27" s="9" t="n"/>
      <c r="P27" s="7" t="n"/>
    </row>
    <row r="28" ht="30" customHeight="1">
      <c r="A28" s="7" t="n">
        <v>17</v>
      </c>
      <c r="B28" s="7" t="n"/>
      <c r="C28" s="7" t="n"/>
      <c r="D28" s="7" t="n"/>
      <c r="E28" s="7" t="n"/>
      <c r="F28" s="8">
        <f>IF(OR(D28="",E28=""),"",D28*E28)</f>
        <v/>
      </c>
      <c r="G28" s="8">
        <f>IF(F28="","",IF(F28&gt;=17,"Critical",IF(OR(F28&gt;=10,E28=5),"High",IF(F28&gt;=5,"Medium","Low"))))</f>
        <v/>
      </c>
      <c r="H28" s="7" t="n"/>
      <c r="I28" s="7" t="n"/>
      <c r="J28" s="7" t="n"/>
      <c r="K28" s="8">
        <f>IF(OR(I28="",J28=""),"",I28*J28)</f>
        <v/>
      </c>
      <c r="L28" s="8">
        <f>IF(K28="","",IF(K28&gt;=17,"Critical",IF(OR(K28&gt;=10,J28=5),"High",IF(K28&gt;=5,"Medium","Low"))))</f>
        <v/>
      </c>
      <c r="M28" s="7" t="n"/>
      <c r="N28" s="7" t="n"/>
      <c r="O28" s="9" t="n"/>
      <c r="P28" s="7" t="n"/>
    </row>
    <row r="29" ht="30" customHeight="1">
      <c r="A29" s="7" t="n">
        <v>18</v>
      </c>
      <c r="B29" s="7" t="n"/>
      <c r="C29" s="7" t="n"/>
      <c r="D29" s="7" t="n"/>
      <c r="E29" s="7" t="n"/>
      <c r="F29" s="8">
        <f>IF(OR(D29="",E29=""),"",D29*E29)</f>
        <v/>
      </c>
      <c r="G29" s="8">
        <f>IF(F29="","",IF(F29&gt;=17,"Critical",IF(OR(F29&gt;=10,E29=5),"High",IF(F29&gt;=5,"Medium","Low"))))</f>
        <v/>
      </c>
      <c r="H29" s="7" t="n"/>
      <c r="I29" s="7" t="n"/>
      <c r="J29" s="7" t="n"/>
      <c r="K29" s="8">
        <f>IF(OR(I29="",J29=""),"",I29*J29)</f>
        <v/>
      </c>
      <c r="L29" s="8">
        <f>IF(K29="","",IF(K29&gt;=17,"Critical",IF(OR(K29&gt;=10,J29=5),"High",IF(K29&gt;=5,"Medium","Low"))))</f>
        <v/>
      </c>
      <c r="M29" s="7" t="n"/>
      <c r="N29" s="7" t="n"/>
      <c r="O29" s="9" t="n"/>
      <c r="P29" s="7" t="n"/>
    </row>
    <row r="30" ht="30" customHeight="1">
      <c r="A30" s="7" t="n">
        <v>19</v>
      </c>
      <c r="B30" s="7" t="n"/>
      <c r="C30" s="7" t="n"/>
      <c r="D30" s="7" t="n"/>
      <c r="E30" s="7" t="n"/>
      <c r="F30" s="8">
        <f>IF(OR(D30="",E30=""),"",D30*E30)</f>
        <v/>
      </c>
      <c r="G30" s="8">
        <f>IF(F30="","",IF(F30&gt;=17,"Critical",IF(OR(F30&gt;=10,E30=5),"High",IF(F30&gt;=5,"Medium","Low"))))</f>
        <v/>
      </c>
      <c r="H30" s="7" t="n"/>
      <c r="I30" s="7" t="n"/>
      <c r="J30" s="7" t="n"/>
      <c r="K30" s="8">
        <f>IF(OR(I30="",J30=""),"",I30*J30)</f>
        <v/>
      </c>
      <c r="L30" s="8">
        <f>IF(K30="","",IF(K30&gt;=17,"Critical",IF(OR(K30&gt;=10,J30=5),"High",IF(K30&gt;=5,"Medium","Low"))))</f>
        <v/>
      </c>
      <c r="M30" s="7" t="n"/>
      <c r="N30" s="7" t="n"/>
      <c r="O30" s="9" t="n"/>
      <c r="P30" s="7" t="n"/>
    </row>
    <row r="31" ht="30" customHeight="1">
      <c r="A31" s="7" t="n">
        <v>20</v>
      </c>
      <c r="B31" s="7" t="n"/>
      <c r="C31" s="7" t="n"/>
      <c r="D31" s="7" t="n"/>
      <c r="E31" s="7" t="n"/>
      <c r="F31" s="8">
        <f>IF(OR(D31="",E31=""),"",D31*E31)</f>
        <v/>
      </c>
      <c r="G31" s="8">
        <f>IF(F31="","",IF(F31&gt;=17,"Critical",IF(OR(F31&gt;=10,E31=5),"High",IF(F31&gt;=5,"Medium","Low"))))</f>
        <v/>
      </c>
      <c r="H31" s="7" t="n"/>
      <c r="I31" s="7" t="n"/>
      <c r="J31" s="7" t="n"/>
      <c r="K31" s="8">
        <f>IF(OR(I31="",J31=""),"",I31*J31)</f>
        <v/>
      </c>
      <c r="L31" s="8">
        <f>IF(K31="","",IF(K31&gt;=17,"Critical",IF(OR(K31&gt;=10,J31=5),"High",IF(K31&gt;=5,"Medium","Low"))))</f>
        <v/>
      </c>
      <c r="M31" s="7" t="n"/>
      <c r="N31" s="7" t="n"/>
      <c r="O31" s="9" t="n"/>
      <c r="P31" s="7" t="n"/>
    </row>
    <row r="32" ht="30" customHeight="1">
      <c r="A32" s="7" t="n">
        <v>21</v>
      </c>
      <c r="B32" s="7" t="n"/>
      <c r="C32" s="7" t="n"/>
      <c r="D32" s="7" t="n"/>
      <c r="E32" s="7" t="n"/>
      <c r="F32" s="8">
        <f>IF(OR(D32="",E32=""),"",D32*E32)</f>
        <v/>
      </c>
      <c r="G32" s="8">
        <f>IF(F32="","",IF(F32&gt;=17,"Critical",IF(OR(F32&gt;=10,E32=5),"High",IF(F32&gt;=5,"Medium","Low"))))</f>
        <v/>
      </c>
      <c r="H32" s="7" t="n"/>
      <c r="I32" s="7" t="n"/>
      <c r="J32" s="7" t="n"/>
      <c r="K32" s="8">
        <f>IF(OR(I32="",J32=""),"",I32*J32)</f>
        <v/>
      </c>
      <c r="L32" s="8">
        <f>IF(K32="","",IF(K32&gt;=17,"Critical",IF(OR(K32&gt;=10,J32=5),"High",IF(K32&gt;=5,"Medium","Low"))))</f>
        <v/>
      </c>
      <c r="M32" s="7" t="n"/>
      <c r="N32" s="7" t="n"/>
      <c r="O32" s="9" t="n"/>
      <c r="P32" s="7" t="n"/>
    </row>
    <row r="33" ht="30" customHeight="1">
      <c r="A33" s="7" t="n">
        <v>22</v>
      </c>
      <c r="B33" s="7" t="n"/>
      <c r="C33" s="7" t="n"/>
      <c r="D33" s="7" t="n"/>
      <c r="E33" s="7" t="n"/>
      <c r="F33" s="8">
        <f>IF(OR(D33="",E33=""),"",D33*E33)</f>
        <v/>
      </c>
      <c r="G33" s="8">
        <f>IF(F33="","",IF(F33&gt;=17,"Critical",IF(OR(F33&gt;=10,E33=5),"High",IF(F33&gt;=5,"Medium","Low"))))</f>
        <v/>
      </c>
      <c r="H33" s="7" t="n"/>
      <c r="I33" s="7" t="n"/>
      <c r="J33" s="7" t="n"/>
      <c r="K33" s="8">
        <f>IF(OR(I33="",J33=""),"",I33*J33)</f>
        <v/>
      </c>
      <c r="L33" s="8">
        <f>IF(K33="","",IF(K33&gt;=17,"Critical",IF(OR(K33&gt;=10,J33=5),"High",IF(K33&gt;=5,"Medium","Low"))))</f>
        <v/>
      </c>
      <c r="M33" s="7" t="n"/>
      <c r="N33" s="7" t="n"/>
      <c r="O33" s="9" t="n"/>
      <c r="P33" s="7" t="n"/>
    </row>
    <row r="34" ht="30" customHeight="1">
      <c r="A34" s="7" t="n">
        <v>23</v>
      </c>
      <c r="B34" s="7" t="n"/>
      <c r="C34" s="7" t="n"/>
      <c r="D34" s="7" t="n"/>
      <c r="E34" s="7" t="n"/>
      <c r="F34" s="8">
        <f>IF(OR(D34="",E34=""),"",D34*E34)</f>
        <v/>
      </c>
      <c r="G34" s="8">
        <f>IF(F34="","",IF(F34&gt;=17,"Critical",IF(OR(F34&gt;=10,E34=5),"High",IF(F34&gt;=5,"Medium","Low"))))</f>
        <v/>
      </c>
      <c r="H34" s="7" t="n"/>
      <c r="I34" s="7" t="n"/>
      <c r="J34" s="7" t="n"/>
      <c r="K34" s="8">
        <f>IF(OR(I34="",J34=""),"",I34*J34)</f>
        <v/>
      </c>
      <c r="L34" s="8">
        <f>IF(K34="","",IF(K34&gt;=17,"Critical",IF(OR(K34&gt;=10,J34=5),"High",IF(K34&gt;=5,"Medium","Low"))))</f>
        <v/>
      </c>
      <c r="M34" s="7" t="n"/>
      <c r="N34" s="7" t="n"/>
      <c r="O34" s="9" t="n"/>
      <c r="P34" s="7" t="n"/>
    </row>
    <row r="36">
      <c r="A36" s="10" t="inlineStr">
        <is>
          <t>Score = likelihood × consequence. Severity rule: a consequence of 5 is never below High. Scales and matrix: see the Scales and Matrix sheets.</t>
        </is>
      </c>
    </row>
  </sheetData>
  <mergeCells count="15">
    <mergeCell ref="D4:J4"/>
    <mergeCell ref="A36:P36"/>
    <mergeCell ref="A5:C5"/>
    <mergeCell ref="D3:J3"/>
    <mergeCell ref="D9:J9"/>
    <mergeCell ref="A8:C8"/>
    <mergeCell ref="A6:C6"/>
    <mergeCell ref="D7:J7"/>
    <mergeCell ref="D6:J6"/>
    <mergeCell ref="D8:J8"/>
    <mergeCell ref="A9:C9"/>
    <mergeCell ref="A3:C3"/>
    <mergeCell ref="A7:C7"/>
    <mergeCell ref="A4:C4"/>
    <mergeCell ref="D5:J5"/>
  </mergeCells>
  <conditionalFormatting sqref="G12:G34">
    <cfRule type="expression" priority="1" dxfId="0">
      <formula>G12="Low"</formula>
    </cfRule>
    <cfRule type="expression" priority="2" dxfId="1">
      <formula>G12="Medium"</formula>
    </cfRule>
    <cfRule type="expression" priority="3" dxfId="2">
      <formula>G12="High"</formula>
    </cfRule>
    <cfRule type="expression" priority="4" dxfId="3">
      <formula>G12="Critical"</formula>
    </cfRule>
  </conditionalFormatting>
  <conditionalFormatting sqref="L12:L34">
    <cfRule type="expression" priority="5" dxfId="0">
      <formula>L12="Low"</formula>
    </cfRule>
    <cfRule type="expression" priority="6" dxfId="1">
      <formula>L12="Medium"</formula>
    </cfRule>
    <cfRule type="expression" priority="7" dxfId="2">
      <formula>L12="High"</formula>
    </cfRule>
    <cfRule type="expression" priority="8" dxfId="3">
      <formula>L12="Critical"</formula>
    </cfRule>
  </conditionalFormatting>
  <dataValidations count="2">
    <dataValidation sqref="C12:C34" showDropDown="0" showInputMessage="0" showErrorMessage="1" allowBlank="1" errorTitle="Consequence area" error="Pick People, Service and load, Equipment or Cost." type="list">
      <formula1>"People,Service and load,Equipment,Cost"</formula1>
    </dataValidation>
    <dataValidation sqref="D12:D34 E12:E34 I12:I34 J12:J34" showDropDown="0" showInputMessage="0" showErrorMessage="1" allowBlank="1" errorTitle="Level 1-5" error="Use a whole number from 1 to 5. See the Scales sheet." type="list">
      <formula1>"1,2,3,4,5"</formula1>
    </dataValidation>
  </dataValidations>
  <printOptions gridLines="0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30" customWidth="1" min="4" max="4"/>
    <col width="36" customWidth="1" min="5" max="5"/>
  </cols>
  <sheetData>
    <row r="1" ht="26" customHeight="1">
      <c r="A1" s="1" t="inlineStr">
        <is>
          <t>Scales</t>
        </is>
      </c>
    </row>
    <row r="3">
      <c r="A3" s="11" t="inlineStr">
        <is>
          <t>Likelihood</t>
        </is>
      </c>
    </row>
    <row r="4">
      <c r="A4" s="10" t="inlineStr">
        <is>
          <t>How likely is it that this happens during this work, or in this period?</t>
        </is>
      </c>
    </row>
    <row r="5" ht="20" customHeight="1">
      <c r="A5" s="6" t="inlineStr">
        <is>
          <t>Level</t>
        </is>
      </c>
      <c r="B5" s="6" t="inlineStr">
        <is>
          <t>Likelihood</t>
        </is>
      </c>
      <c r="C5" s="6" t="inlineStr">
        <is>
          <t>What it means</t>
        </is>
      </c>
    </row>
    <row r="6" ht="30" customHeight="1">
      <c r="A6" s="8" t="n">
        <v>1</v>
      </c>
      <c r="B6" s="7" t="inlineStr">
        <is>
          <t>Very unlikely</t>
        </is>
      </c>
      <c r="C6" s="7" t="inlineStr">
        <is>
          <t>Not seen in this kind of work. It would take several failures at once.</t>
        </is>
      </c>
    </row>
    <row r="7" ht="30" customHeight="1">
      <c r="A7" s="8" t="n">
        <v>2</v>
      </c>
      <c r="B7" s="7" t="inlineStr">
        <is>
          <t>Unlikely</t>
        </is>
      </c>
      <c r="C7" s="7" t="inlineStr">
        <is>
          <t>It has happened in the industry, but nobody expects it here.</t>
        </is>
      </c>
    </row>
    <row r="8" ht="30" customHeight="1">
      <c r="A8" s="8" t="n">
        <v>3</v>
      </c>
      <c r="B8" s="7" t="inlineStr">
        <is>
          <t>Possible</t>
        </is>
      </c>
      <c r="C8" s="7" t="inlineStr">
        <is>
          <t>It has happened on sites like this one. It could happen this time.</t>
        </is>
      </c>
    </row>
    <row r="9" ht="30" customHeight="1">
      <c r="A9" s="8" t="n">
        <v>4</v>
      </c>
      <c r="B9" s="7" t="inlineStr">
        <is>
          <t>Likely</t>
        </is>
      </c>
      <c r="C9" s="7" t="inlineStr">
        <is>
          <t>Expected at some point if nothing changes.</t>
        </is>
      </c>
    </row>
    <row r="10" ht="30" customHeight="1">
      <c r="A10" s="8" t="n">
        <v>5</v>
      </c>
      <c r="B10" s="7" t="inlineStr">
        <is>
          <t>Almost certain</t>
        </is>
      </c>
      <c r="C10" s="7" t="inlineStr">
        <is>
          <t>Already happening, or will happen without action.</t>
        </is>
      </c>
    </row>
    <row r="12">
      <c r="A12" s="11" t="inlineStr">
        <is>
          <t>Consequence</t>
        </is>
      </c>
    </row>
    <row r="13">
      <c r="A13" s="10" t="inlineStr">
        <is>
          <t>Score all four columns and use the worst one.</t>
        </is>
      </c>
    </row>
    <row r="14" ht="20" customHeight="1">
      <c r="A14" s="6" t="inlineStr">
        <is>
          <t>Level</t>
        </is>
      </c>
      <c r="B14" s="6" t="inlineStr">
        <is>
          <t>People</t>
        </is>
      </c>
      <c r="C14" s="6" t="inlineStr">
        <is>
          <t>Service and load</t>
        </is>
      </c>
      <c r="D14" s="6" t="inlineStr">
        <is>
          <t>Equipment</t>
        </is>
      </c>
      <c r="E14" s="6" t="inlineStr">
        <is>
          <t>Cost</t>
        </is>
      </c>
    </row>
    <row r="15" ht="44" customHeight="1">
      <c r="A15" s="8" t="n">
        <v>1</v>
      </c>
      <c r="B15" s="7" t="inlineStr">
        <is>
          <t>No injury</t>
        </is>
      </c>
      <c r="C15" s="7" t="inlineStr">
        <is>
          <t>No effect</t>
        </is>
      </c>
      <c r="D15" s="7" t="inlineStr">
        <is>
          <t>No damage</t>
        </is>
      </c>
      <c r="E15" s="7" t="inlineStr">
        <is>
          <t>Negligible</t>
        </is>
      </c>
    </row>
    <row r="16" ht="44" customHeight="1">
      <c r="A16" s="8" t="n">
        <v>2</v>
      </c>
      <c r="B16" s="7" t="inlineStr">
        <is>
          <t>First aid</t>
        </is>
      </c>
      <c r="C16" s="7" t="inlineStr">
        <is>
          <t>One redundant component lost, no load affected</t>
        </is>
      </c>
      <c r="D16" s="7" t="inlineStr">
        <is>
          <t>Minor repair</t>
        </is>
      </c>
      <c r="E16" s="7" t="inlineStr">
        <is>
          <t>Covered by the normal operating budget</t>
        </is>
      </c>
    </row>
    <row r="17" ht="44" customHeight="1">
      <c r="A17" s="8" t="n">
        <v>3</v>
      </c>
      <c r="B17" s="7" t="inlineStr">
        <is>
          <t>Medical treatment</t>
        </is>
      </c>
      <c r="C17" s="7" t="inlineStr">
        <is>
          <t>A system runs without redundancy, or margins near their limits (temperature, battery time)</t>
        </is>
      </c>
      <c r="D17" s="7" t="inlineStr">
        <is>
          <t>Component replaced</t>
        </is>
      </c>
      <c r="E17" s="7" t="inlineStr">
        <is>
          <t>Needs approval outside the budget</t>
        </is>
      </c>
    </row>
    <row r="18" ht="44" customHeight="1">
      <c r="A18" s="8" t="n">
        <v>4</v>
      </c>
      <c r="B18" s="7" t="inlineStr">
        <is>
          <t>Serious injury</t>
        </is>
      </c>
      <c r="C18" s="7" t="inlineStr">
        <is>
          <t>Load dropped in any room, critical or not, or for some customers</t>
        </is>
      </c>
      <c r="D18" s="7" t="inlineStr">
        <is>
          <t>Major unit damaged, long repair</t>
        </is>
      </c>
      <c r="E18" s="7" t="inlineStr">
        <is>
          <t>Large unplanned cost, or contract penalties</t>
        </is>
      </c>
    </row>
    <row r="19" ht="44" customHeight="1">
      <c r="A19" s="8" t="n">
        <v>5</v>
      </c>
      <c r="B19" s="7" t="inlineStr">
        <is>
          <t>Fatality or life-changing injury</t>
        </is>
      </c>
      <c r="C19" s="7" t="inlineStr">
        <is>
          <t>Load dropped across the site or for many customers</t>
        </is>
      </c>
      <c r="D19" s="7" t="inlineStr">
        <is>
          <t>Major system destroyed, or fire</t>
        </is>
      </c>
      <c r="E19" s="7" t="inlineStr">
        <is>
          <t>Threatens the contract, the customer or the business</t>
        </is>
      </c>
    </row>
    <row r="21" ht="34" customHeight="1">
      <c r="A21" s="12" t="inlineStr">
        <is>
          <t>Note: The site sets the amounts for each cost level. Cost alone can raise the consequence: a repair bill or contract penalty at level 4 makes it a 4, even if no load was lost.</t>
        </is>
      </c>
    </row>
  </sheetData>
  <mergeCells count="1">
    <mergeCell ref="A21:E21"/>
  </mergeCells>
  <printOptions gridLines="0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Risk matrix</t>
        </is>
      </c>
    </row>
    <row r="3">
      <c r="C3" s="13" t="inlineStr">
        <is>
          <t>Likelihood</t>
        </is>
      </c>
    </row>
    <row r="4">
      <c r="C4" s="14" t="n">
        <v>1</v>
      </c>
      <c r="D4" s="14" t="n">
        <v>2</v>
      </c>
      <c r="E4" s="14" t="n">
        <v>3</v>
      </c>
      <c r="F4" s="14" t="n">
        <v>4</v>
      </c>
      <c r="G4" s="14" t="n">
        <v>5</v>
      </c>
    </row>
    <row r="5" ht="36" customHeight="1">
      <c r="A5" s="15" t="inlineStr">
        <is>
          <t>Consequence</t>
        </is>
      </c>
      <c r="B5" s="16" t="n">
        <v>5</v>
      </c>
      <c r="C5" s="17" t="inlineStr">
        <is>
          <t>5
High*</t>
        </is>
      </c>
      <c r="D5" s="17" t="inlineStr">
        <is>
          <t>10
High</t>
        </is>
      </c>
      <c r="E5" s="17" t="inlineStr">
        <is>
          <t>15
High</t>
        </is>
      </c>
      <c r="F5" s="18" t="inlineStr">
        <is>
          <t>20
Critical</t>
        </is>
      </c>
      <c r="G5" s="18" t="inlineStr">
        <is>
          <t>25
Critical</t>
        </is>
      </c>
    </row>
    <row r="6" ht="36" customHeight="1">
      <c r="B6" s="16" t="n">
        <v>4</v>
      </c>
      <c r="C6" s="19" t="inlineStr">
        <is>
          <t>4
Low</t>
        </is>
      </c>
      <c r="D6" s="20" t="inlineStr">
        <is>
          <t>8
Medium</t>
        </is>
      </c>
      <c r="E6" s="17" t="inlineStr">
        <is>
          <t>12
High</t>
        </is>
      </c>
      <c r="F6" s="17" t="inlineStr">
        <is>
          <t>16
High</t>
        </is>
      </c>
      <c r="G6" s="18" t="inlineStr">
        <is>
          <t>20
Critical</t>
        </is>
      </c>
    </row>
    <row r="7" ht="36" customHeight="1">
      <c r="B7" s="16" t="n">
        <v>3</v>
      </c>
      <c r="C7" s="19" t="inlineStr">
        <is>
          <t>3
Low</t>
        </is>
      </c>
      <c r="D7" s="20" t="inlineStr">
        <is>
          <t>6
Medium</t>
        </is>
      </c>
      <c r="E7" s="20" t="inlineStr">
        <is>
          <t>9
Medium</t>
        </is>
      </c>
      <c r="F7" s="17" t="inlineStr">
        <is>
          <t>12
High</t>
        </is>
      </c>
      <c r="G7" s="17" t="inlineStr">
        <is>
          <t>15
High</t>
        </is>
      </c>
    </row>
    <row r="8" ht="36" customHeight="1">
      <c r="B8" s="16" t="n">
        <v>2</v>
      </c>
      <c r="C8" s="19" t="inlineStr">
        <is>
          <t>2
Low</t>
        </is>
      </c>
      <c r="D8" s="19" t="inlineStr">
        <is>
          <t>4
Low</t>
        </is>
      </c>
      <c r="E8" s="20" t="inlineStr">
        <is>
          <t>6
Medium</t>
        </is>
      </c>
      <c r="F8" s="20" t="inlineStr">
        <is>
          <t>8
Medium</t>
        </is>
      </c>
      <c r="G8" s="17" t="inlineStr">
        <is>
          <t>10
High</t>
        </is>
      </c>
    </row>
    <row r="9" ht="36" customHeight="1">
      <c r="B9" s="16" t="n">
        <v>1</v>
      </c>
      <c r="C9" s="19" t="inlineStr">
        <is>
          <t>1
Low</t>
        </is>
      </c>
      <c r="D9" s="19" t="inlineStr">
        <is>
          <t>2
Low</t>
        </is>
      </c>
      <c r="E9" s="19" t="inlineStr">
        <is>
          <t>3
Low</t>
        </is>
      </c>
      <c r="F9" s="19" t="inlineStr">
        <is>
          <t>4
Low</t>
        </is>
      </c>
      <c r="G9" s="20" t="inlineStr">
        <is>
          <t>5
Medium</t>
        </is>
      </c>
    </row>
    <row r="11">
      <c r="A11" s="21" t="inlineStr">
        <is>
          <t>Severity rule: a consequence of 5 is never below High, however unlikely it is. Without this rule, an event that could drop the whole site scores the same as a near-certain nuisance. That is the best-known weakness of risk matrices. (* marks the cell this rule raises.)</t>
        </is>
      </c>
    </row>
    <row r="12"/>
    <row r="13"/>
    <row r="15" ht="20" customHeight="1">
      <c r="A15" s="6" t="inlineStr">
        <is>
          <t>Level</t>
        </is>
      </c>
      <c r="B15" s="22" t="n"/>
      <c r="C15" s="6" t="inlineStr">
        <is>
          <t>Score</t>
        </is>
      </c>
      <c r="D15" s="6" t="inlineStr">
        <is>
          <t>What happens next</t>
        </is>
      </c>
      <c r="E15" s="22" t="n"/>
      <c r="F15" s="6" t="inlineStr">
        <is>
          <t>Who accepts</t>
        </is>
      </c>
      <c r="G15" s="22" t="n"/>
    </row>
    <row r="16" ht="58" customHeight="1">
      <c r="A16" s="23" t="inlineStr">
        <is>
          <t>Low</t>
        </is>
      </c>
      <c r="B16" s="24" t="n"/>
      <c r="C16" s="7" t="inlineStr">
        <is>
          <t>1–4</t>
        </is>
      </c>
      <c r="D16" s="7" t="inlineStr">
        <is>
          <t>Go ahead with normal controls.</t>
        </is>
      </c>
      <c r="E16" s="3" t="n"/>
      <c r="F16" s="7" t="inlineStr">
        <is>
          <t>The Shift lead can accept.</t>
        </is>
      </c>
      <c r="G16" s="3" t="n"/>
    </row>
    <row r="17" ht="58" customHeight="1">
      <c r="A17" s="25" t="inlineStr">
        <is>
          <t>Medium</t>
        </is>
      </c>
      <c r="B17" s="26" t="n"/>
      <c r="C17" s="7" t="inlineStr">
        <is>
          <t>5–9</t>
        </is>
      </c>
      <c r="D17" s="7" t="inlineStr">
        <is>
          <t>Go ahead with the listed controls and a named owner for each.</t>
        </is>
      </c>
      <c r="E17" s="3" t="n"/>
      <c r="F17" s="7" t="inlineStr">
        <is>
          <t>The Facility manager accepts.</t>
        </is>
      </c>
      <c r="G17" s="3" t="n"/>
    </row>
    <row r="18" ht="58" customHeight="1">
      <c r="A18" s="27" t="inlineStr">
        <is>
          <t>High</t>
        </is>
      </c>
      <c r="B18" s="28" t="n"/>
      <c r="C18" s="7" t="inlineStr">
        <is>
          <t>10–16, or any consequence 5</t>
        </is>
      </c>
      <c r="D18" s="7" t="inlineStr">
        <is>
          <t>Only with controls in place, hold points and stop conditions.</t>
        </is>
      </c>
      <c r="E18" s="3" t="n"/>
      <c r="F18" s="7" t="inlineStr">
        <is>
          <t>The risk owner, often the Site manager or above, accepts in writing before the work starts.</t>
        </is>
      </c>
      <c r="G18" s="3" t="n"/>
    </row>
    <row r="19" ht="58" customHeight="1">
      <c r="A19" s="29" t="inlineStr">
        <is>
          <t>Critical</t>
        </is>
      </c>
      <c r="B19" s="30" t="n"/>
      <c r="C19" s="7" t="inlineStr">
        <is>
          <t>17–25</t>
        </is>
      </c>
      <c r="D19" s="7" t="inlineStr">
        <is>
          <t>Don't start. Change the plan until the risk is lower.</t>
        </is>
      </c>
      <c r="E19" s="3" t="n"/>
      <c r="F19" s="7" t="inlineStr">
        <is>
          <t>If it can't be lowered, the decision goes to the highest management level.</t>
        </is>
      </c>
      <c r="G19" s="3" t="n"/>
    </row>
    <row r="21">
      <c r="A21" s="12" t="inlineStr">
        <is>
          <t>Note: Who may accept each level is set by the site's own governance. The roles above are an example.</t>
        </is>
      </c>
    </row>
    <row r="22"/>
  </sheetData>
  <mergeCells count="19">
    <mergeCell ref="A15:B15"/>
    <mergeCell ref="A5:A9"/>
    <mergeCell ref="F16:G16"/>
    <mergeCell ref="D19:E19"/>
    <mergeCell ref="F19:G19"/>
    <mergeCell ref="A16:B16"/>
    <mergeCell ref="F15:G15"/>
    <mergeCell ref="F18:G18"/>
    <mergeCell ref="A18:B18"/>
    <mergeCell ref="D17:E17"/>
    <mergeCell ref="F17:G17"/>
    <mergeCell ref="D16:E16"/>
    <mergeCell ref="A21:G22"/>
    <mergeCell ref="A11:G13"/>
    <mergeCell ref="D18:E18"/>
    <mergeCell ref="A17:B17"/>
    <mergeCell ref="D15:E15"/>
    <mergeCell ref="A19:B19"/>
    <mergeCell ref="C3:G3"/>
  </mergeCells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tomjensen.no</dc:creator>
  <dc:title>Risk assessment template</dc:title>
  <dc:subject>Risk assessment</dc:subject>
  <dcterms:created xsi:type="dcterms:W3CDTF">2026-10-10T21:35:28Z</dcterms:created>
  <dcterms:modified xsi:type="dcterms:W3CDTF">2026-10-10T21:35:28Z</dcterms:modified>
  <cp:lastModifiedBy>tomjensen.no</cp:lastModifiedBy>
</cp:coreProperties>
</file>